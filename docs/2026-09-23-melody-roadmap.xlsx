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  <sheet name="Scales" sheetId="2" state="visible" r:id="rId2"/>
    <sheet name="By tranche" sheetId="3" state="visible" r:id="rId3"/>
    <sheet name="MoSCoW x FURPS" sheetId="4" state="visible" r:id="rId4"/>
  </sheets>
  <definedNames>
    <definedName name="_xlnm._FilterDatabase" localSheetId="0" hidden="1">'Roadmap'!$A$1:$O$15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6F6C64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E1D1A"/>
      </patternFill>
    </fill>
    <fill>
      <patternFill patternType="solid">
        <fgColor rgb="00F8F7F3"/>
      </patternFill>
    </fill>
  </fills>
  <borders count="2">
    <border>
      <left/>
      <right/>
      <top/>
      <bottom/>
      <diagonal/>
    </border>
    <border>
      <bottom style="thin">
        <color rgb="00E3DF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2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J1" authorId="0" shapeId="0">
      <text>
        <t>Impact points ÷ size points: more value per unit of effort is higher. 181 is the umbrella; its tasks 197–200 carry the effort.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8" customWidth="1" min="4" max="4"/>
    <col width="9" customWidth="1" min="5" max="5"/>
    <col width="7" customWidth="1" min="6" max="6"/>
    <col width="9" customWidth="1" min="7" max="7"/>
    <col width="10" customWidth="1" min="8" max="8"/>
    <col width="10" customWidth="1" min="9" max="9"/>
    <col width="12" customWidth="1" min="10" max="10"/>
    <col width="8" customWidth="1" min="11" max="11"/>
    <col width="20" customWidth="1" min="12" max="12"/>
    <col width="18" customWidth="1" min="13" max="13"/>
    <col width="60" customWidth="1" min="14" max="14"/>
    <col width="11" customWidth="1" min="15" max="15"/>
  </cols>
  <sheetData>
    <row r="1" ht="28" customHeight="1">
      <c r="A1" s="1" t="inlineStr">
        <is>
          <t>ID</t>
        </is>
      </c>
      <c r="B1" s="1" t="inlineStr">
        <is>
          <t>Item</t>
        </is>
      </c>
      <c r="C1" s="1" t="inlineStr">
        <is>
          <t>Tranche</t>
        </is>
      </c>
      <c r="D1" s="1" t="inlineStr">
        <is>
          <t>What it delivers</t>
        </is>
      </c>
      <c r="E1" s="1" t="inlineStr">
        <is>
          <t>FURPS</t>
        </is>
      </c>
      <c r="F1" s="1" t="inlineStr">
        <is>
          <t>Size</t>
        </is>
      </c>
      <c r="G1" s="1" t="inlineStr">
        <is>
          <t>Size pts</t>
        </is>
      </c>
      <c r="H1" s="1" t="inlineStr">
        <is>
          <t>Impact</t>
        </is>
      </c>
      <c r="I1" s="1" t="inlineStr">
        <is>
          <t>Impact pts</t>
        </is>
      </c>
      <c r="J1" s="1" t="inlineStr">
        <is>
          <t>Value per effort</t>
        </is>
      </c>
      <c r="K1" s="1" t="inlineStr">
        <is>
          <t>Risk</t>
        </is>
      </c>
      <c r="L1" s="1" t="inlineStr">
        <is>
          <t>Status</t>
        </is>
      </c>
      <c r="M1" s="1" t="inlineStr">
        <is>
          <t>Depends on</t>
        </is>
      </c>
      <c r="N1" s="1" t="inlineStr">
        <is>
          <t>Done when (confirm)</t>
        </is>
      </c>
      <c r="O1" s="1" t="inlineStr">
        <is>
          <t>MoSCoW</t>
        </is>
      </c>
    </row>
    <row r="2">
      <c r="A2" s="2" t="inlineStr">
        <is>
          <t>196</t>
        </is>
      </c>
      <c r="B2" s="2" t="inlineStr">
        <is>
          <t>Re-prove task 154 on main</t>
        </is>
      </c>
      <c r="C2" s="2" t="inlineStr">
        <is>
          <t>M0</t>
        </is>
      </c>
      <c r="D2" s="2" t="inlineStr">
        <is>
          <t>A synchronous delegate from a claude-code orchestrator returns after 60 s; the desktop RPI walk passes</t>
        </is>
      </c>
      <c r="E2" s="2" t="inlineStr">
        <is>
          <t>R</t>
        </is>
      </c>
      <c r="F2" s="3" t="inlineStr">
        <is>
          <t>S</t>
        </is>
      </c>
      <c r="G2" s="2">
        <f>IFERROR(INDEX(Scales!$B$3:$B$6,MATCH(F2,Scales!$A$3:$A$6,0)),"")</f>
        <v/>
      </c>
      <c r="H2" s="3" t="inlineStr">
        <is>
          <t>High</t>
        </is>
      </c>
      <c r="I2" s="2">
        <f>IFERROR(INDEX(Scales!$E$3:$E$6,MATCH(H2,Scales!$D$3:$D$6,0)),"")</f>
        <v/>
      </c>
      <c r="J2" s="4">
        <f>IFERROR(ROUND(I2/G2,2),"")</f>
        <v/>
      </c>
      <c r="K2" s="2" t="inlineStr">
        <is>
          <t>Low</t>
        </is>
      </c>
      <c r="L2" s="2" t="inlineStr">
        <is>
          <t>Done 2026-09-23</t>
        </is>
      </c>
      <c r="M2" s="2" t="inlineStr">
        <is>
          <t>—</t>
        </is>
      </c>
      <c r="N2" s="2" t="inlineStr">
        <is>
          <t>forced-sync delegate → SLEPT (183 s); just walk "rpi strip" → 1 passed</t>
        </is>
      </c>
      <c r="O2" s="2" t="inlineStr">
        <is>
          <t>Must</t>
        </is>
      </c>
    </row>
    <row r="3">
      <c r="A3" s="5" t="inlineStr">
        <is>
          <t>181</t>
        </is>
      </c>
      <c r="B3" s="5" t="inlineStr">
        <is>
          <t>A reconnect keeps the running reply</t>
        </is>
      </c>
      <c r="C3" s="5" t="inlineStr">
        <is>
          <t>M0</t>
        </is>
      </c>
      <c r="D3" s="5" t="inlineStr">
        <is>
          <t>Umbrella for 197–200 (plan: docs/2026-09-23-task181-shared-run-plan-v1.md)</t>
        </is>
      </c>
      <c r="E3" s="5" t="inlineStr">
        <is>
          <t>R</t>
        </is>
      </c>
      <c r="F3" s="6" t="inlineStr">
        <is>
          <t>XL</t>
        </is>
      </c>
      <c r="G3" s="5">
        <f>IFERROR(INDEX(Scales!$B$3:$B$6,MATCH(F3,Scales!$A$3:$A$6,0)),"")</f>
        <v/>
      </c>
      <c r="H3" s="6" t="inlineStr">
        <is>
          <t>High</t>
        </is>
      </c>
      <c r="I3" s="5">
        <f>IFERROR(INDEX(Scales!$E$3:$E$6,MATCH(H3,Scales!$D$3:$D$6,0)),"")</f>
        <v/>
      </c>
      <c r="J3" s="7">
        <f>IFERROR(ROUND(I3/G3,2),"")</f>
        <v/>
      </c>
      <c r="K3" s="5" t="inlineStr">
        <is>
          <t>High</t>
        </is>
      </c>
      <c r="L3" s="5" t="inlineStr">
        <is>
          <t>In progress</t>
        </is>
      </c>
      <c r="M3" s="5" t="inlineStr">
        <is>
          <t>196</t>
        </is>
      </c>
      <c r="N3" s="5" t="inlineStr">
        <is>
          <t>just walk "reconnect during a Hard turn" → 1 passed</t>
        </is>
      </c>
      <c r="O3" s="5" t="inlineStr">
        <is>
          <t>Must</t>
        </is>
      </c>
    </row>
    <row r="4">
      <c r="A4" s="2" t="inlineStr">
        <is>
          <t>197</t>
        </is>
      </c>
      <c r="B4" s="2" t="inlineStr">
        <is>
          <t>One server-owned AgentManager</t>
        </is>
      </c>
      <c r="C4" s="2" t="inlineStr">
        <is>
          <t>M0</t>
        </is>
      </c>
      <c r="D4" s="2" t="inlineStr">
        <is>
          <t>One agent per session across connections; agents with a running turn pinned against eviction</t>
        </is>
      </c>
      <c r="E4" s="2" t="inlineStr">
        <is>
          <t>R</t>
        </is>
      </c>
      <c r="F4" s="3" t="inlineStr">
        <is>
          <t>M</t>
        </is>
      </c>
      <c r="G4" s="2">
        <f>IFERROR(INDEX(Scales!$B$3:$B$6,MATCH(F4,Scales!$A$3:$A$6,0)),"")</f>
        <v/>
      </c>
      <c r="H4" s="3" t="inlineStr">
        <is>
          <t>Low</t>
        </is>
      </c>
      <c r="I4" s="2">
        <f>IFERROR(INDEX(Scales!$E$3:$E$6,MATCH(H4,Scales!$D$3:$D$6,0)),"")</f>
        <v/>
      </c>
      <c r="J4" s="4">
        <f>IFERROR(ROUND(I4/G4,2),"")</f>
        <v/>
      </c>
      <c r="K4" s="2" t="inlineStr">
        <is>
          <t>Med</t>
        </is>
      </c>
      <c r="L4" s="2" t="inlineStr">
        <is>
          <t>Done 2026-09-23</t>
        </is>
      </c>
      <c r="M4" s="2" t="inlineStr">
        <is>
          <t>181 approval</t>
        </is>
      </c>
      <c r="N4" s="2" t="inlineStr">
        <is>
          <t>cargo test -p goose --lib task181_shared_ownership → 3 passed</t>
        </is>
      </c>
      <c r="O4" s="2" t="inlineStr">
        <is>
          <t>Must</t>
        </is>
      </c>
    </row>
    <row r="5">
      <c r="A5" s="5" t="inlineStr">
        <is>
          <t>198</t>
        </is>
      </c>
      <c r="B5" s="5" t="inlineStr">
        <is>
          <t>The server owns the run</t>
        </is>
      </c>
      <c r="C5" s="5" t="inlineStr">
        <is>
          <t>M0</t>
        </is>
      </c>
      <c r="D5" s="5" t="inlineStr">
        <is>
          <t>Reply stream owned by the server; a reconnect re-attaches and gets the reply exactly once</t>
        </is>
      </c>
      <c r="E5" s="5" t="inlineStr">
        <is>
          <t>R</t>
        </is>
      </c>
      <c r="F5" s="6" t="inlineStr">
        <is>
          <t>XL</t>
        </is>
      </c>
      <c r="G5" s="5">
        <f>IFERROR(INDEX(Scales!$B$3:$B$6,MATCH(F5,Scales!$A$3:$A$6,0)),"")</f>
        <v/>
      </c>
      <c r="H5" s="6" t="inlineStr">
        <is>
          <t>High</t>
        </is>
      </c>
      <c r="I5" s="5">
        <f>IFERROR(INDEX(Scales!$E$3:$E$6,MATCH(H5,Scales!$D$3:$D$6,0)),"")</f>
        <v/>
      </c>
      <c r="J5" s="7">
        <f>IFERROR(ROUND(I5/G5,2),"")</f>
        <v/>
      </c>
      <c r="K5" s="5" t="inlineStr">
        <is>
          <t>High</t>
        </is>
      </c>
      <c r="L5" s="5" t="inlineStr">
        <is>
          <t>Rework open (first pass merged)</t>
        </is>
      </c>
      <c r="M5" s="5" t="inlineStr">
        <is>
          <t>197</t>
        </is>
      </c>
      <c r="N5" s="5" t="inlineStr">
        <is>
          <t>cargo test -p goose --test acp_server_test task181_reconnect → 2 passed</t>
        </is>
      </c>
      <c r="O5" s="5" t="inlineStr">
        <is>
          <t>Must</t>
        </is>
      </c>
    </row>
    <row r="6">
      <c r="A6" s="2" t="inlineStr">
        <is>
          <t>199</t>
        </is>
      </c>
      <c r="B6" s="2" t="inlineStr">
        <is>
          <t>Two clients, cancel, permissions, isolation</t>
        </is>
      </c>
      <c r="C6" s="2" t="inlineStr">
        <is>
          <t>M1b</t>
        </is>
      </c>
      <c r="D6" s="2" t="inlineStr">
        <is>
          <t>Two subscribers, cancel from either, permission hand-over, cwd isolation, eviction pressure (runs beside M1b)</t>
        </is>
      </c>
      <c r="E6" s="2" t="inlineStr">
        <is>
          <t>R, F</t>
        </is>
      </c>
      <c r="F6" s="3" t="inlineStr">
        <is>
          <t>L</t>
        </is>
      </c>
      <c r="G6" s="2">
        <f>IFERROR(INDEX(Scales!$B$3:$B$6,MATCH(F6,Scales!$A$3:$A$6,0)),"")</f>
        <v/>
      </c>
      <c r="H6" s="3" t="inlineStr">
        <is>
          <t>Med</t>
        </is>
      </c>
      <c r="I6" s="2">
        <f>IFERROR(INDEX(Scales!$E$3:$E$6,MATCH(H6,Scales!$D$3:$D$6,0)),"")</f>
        <v/>
      </c>
      <c r="J6" s="4">
        <f>IFERROR(ROUND(I6/G6,2),"")</f>
        <v/>
      </c>
      <c r="K6" s="2" t="inlineStr">
        <is>
          <t>Med</t>
        </is>
      </c>
      <c r="L6" s="2" t="inlineStr">
        <is>
          <t>Planned</t>
        </is>
      </c>
      <c r="M6" s="2" t="inlineStr">
        <is>
          <t>198</t>
        </is>
      </c>
      <c r="N6" s="2" t="inlineStr">
        <is>
          <t>cargo test -p goose --test acp_server_test task181_multi_connection → 6 passed</t>
        </is>
      </c>
      <c r="O6" s="2" t="inlineStr">
        <is>
          <t>Should</t>
        </is>
      </c>
    </row>
    <row r="7">
      <c r="A7" s="5" t="inlineStr">
        <is>
          <t>200</t>
        </is>
      </c>
      <c r="B7" s="5" t="inlineStr">
        <is>
          <t>Desktop recovers mid-turn</t>
        </is>
      </c>
      <c r="C7" s="5" t="inlineStr">
        <is>
          <t>M0</t>
        </is>
      </c>
      <c r="D7" s="5" t="inlineStr">
        <is>
          <t>Streaming/idle and Stop restored after a reconnect; a walk proves it</t>
        </is>
      </c>
      <c r="E7" s="5" t="inlineStr">
        <is>
          <t>R, U</t>
        </is>
      </c>
      <c r="F7" s="6" t="inlineStr">
        <is>
          <t>M</t>
        </is>
      </c>
      <c r="G7" s="5">
        <f>IFERROR(INDEX(Scales!$B$3:$B$6,MATCH(F7,Scales!$A$3:$A$6,0)),"")</f>
        <v/>
      </c>
      <c r="H7" s="6" t="inlineStr">
        <is>
          <t>Med</t>
        </is>
      </c>
      <c r="I7" s="5">
        <f>IFERROR(INDEX(Scales!$E$3:$E$6,MATCH(H7,Scales!$D$3:$D$6,0)),"")</f>
        <v/>
      </c>
      <c r="J7" s="7">
        <f>IFERROR(ROUND(I7/G7,2),"")</f>
        <v/>
      </c>
      <c r="K7" s="5" t="inlineStr">
        <is>
          <t>Med</t>
        </is>
      </c>
      <c r="L7" s="5" t="inlineStr">
        <is>
          <t>Planned</t>
        </is>
      </c>
      <c r="M7" s="5" t="inlineStr">
        <is>
          <t>198</t>
        </is>
      </c>
      <c r="N7" s="5" t="inlineStr">
        <is>
          <t>just walk "reconnect during a Hard turn" → 1 passed; just smoke</t>
        </is>
      </c>
      <c r="O7" s="5" t="inlineStr">
        <is>
          <t>Must</t>
        </is>
      </c>
    </row>
    <row r="8">
      <c r="A8" s="2" t="inlineStr">
        <is>
          <t>M1a</t>
        </is>
      </c>
      <c r="B8" s="2" t="inlineStr">
        <is>
          <t>Melody's session tools, headless</t>
        </is>
      </c>
      <c r="C8" s="2" t="inlineStr">
        <is>
          <t>M1a</t>
        </is>
      </c>
      <c r="D8" s="2" t="inlineStr">
        <is>
          <t>list/start/status tools on the session bridge; server-side authorization; approvals; restart recovery; one manager per repository; new-session notices</t>
        </is>
      </c>
      <c r="E8" s="2" t="inlineStr">
        <is>
          <t>F, R</t>
        </is>
      </c>
      <c r="F8" s="3" t="inlineStr">
        <is>
          <t>XL</t>
        </is>
      </c>
      <c r="G8" s="2">
        <f>IFERROR(INDEX(Scales!$B$3:$B$6,MATCH(F8,Scales!$A$3:$A$6,0)),"")</f>
        <v/>
      </c>
      <c r="H8" s="3" t="inlineStr">
        <is>
          <t>Very high</t>
        </is>
      </c>
      <c r="I8" s="2">
        <f>IFERROR(INDEX(Scales!$E$3:$E$6,MATCH(H8,Scales!$D$3:$D$6,0)),"")</f>
        <v/>
      </c>
      <c r="J8" s="4">
        <f>IFERROR(ROUND(I8/G8,2),"")</f>
        <v/>
      </c>
      <c r="K8" s="2" t="inlineStr">
        <is>
          <t>High</t>
        </is>
      </c>
      <c r="L8" s="2" t="inlineStr">
        <is>
          <t>Planned at 200's gate</t>
        </is>
      </c>
      <c r="M8" s="2" t="inlineStr">
        <is>
          <t>181</t>
        </is>
      </c>
      <c r="N8" s="2" t="inlineStr">
        <is>
          <t>cargo test -p goose --test melody_* (7 checks)</t>
        </is>
      </c>
      <c r="O8" s="2" t="inlineStr">
        <is>
          <t>Must</t>
        </is>
      </c>
    </row>
    <row r="9">
      <c r="A9" s="5" t="inlineStr">
        <is>
          <t>M1b</t>
        </is>
      </c>
      <c r="B9" s="5" t="inlineStr">
        <is>
          <t>The smallest real Melody</t>
        </is>
      </c>
      <c r="C9" s="5" t="inlineStr">
        <is>
          <t>M1b</t>
        </is>
      </c>
      <c r="D9" s="5" t="inlineStr">
        <is>
          <t>Her Work tab bound to a persistent session; pin + row at the top of Today; Work toggle; lever removed; one minimal repository manager</t>
        </is>
      </c>
      <c r="E9" s="5" t="inlineStr">
        <is>
          <t>F, U</t>
        </is>
      </c>
      <c r="F9" s="6" t="inlineStr">
        <is>
          <t>L</t>
        </is>
      </c>
      <c r="G9" s="5">
        <f>IFERROR(INDEX(Scales!$B$3:$B$6,MATCH(F9,Scales!$A$3:$A$6,0)),"")</f>
        <v/>
      </c>
      <c r="H9" s="6" t="inlineStr">
        <is>
          <t>Very high</t>
        </is>
      </c>
      <c r="I9" s="5">
        <f>IFERROR(INDEX(Scales!$E$3:$E$6,MATCH(H9,Scales!$D$3:$D$6,0)),"")</f>
        <v/>
      </c>
      <c r="J9" s="7">
        <f>IFERROR(ROUND(I9/G9,2),"")</f>
        <v/>
      </c>
      <c r="K9" s="5" t="inlineStr">
        <is>
          <t>Med</t>
        </is>
      </c>
      <c r="L9" s="5" t="inlineStr">
        <is>
          <t>Planned at M1a's gate</t>
        </is>
      </c>
      <c r="M9" s="5" t="inlineStr">
        <is>
          <t>M1a</t>
        </is>
      </c>
      <c r="N9" s="5" t="inlineStr">
        <is>
          <t>just walk "melody starts a session" → 1 passed</t>
        </is>
      </c>
      <c r="O9" s="5" t="inlineStr">
        <is>
          <t>Must</t>
        </is>
      </c>
    </row>
    <row r="10">
      <c r="A10" s="2" t="inlineStr">
        <is>
          <t>M2</t>
        </is>
      </c>
      <c r="B10" s="2" t="inlineStr">
        <is>
          <t>Companions (manager sessions)</t>
        </is>
      </c>
      <c r="C10" s="2" t="inlineStr">
        <is>
          <t>M2</t>
        </is>
      </c>
      <c r="D10" s="2" t="inlineStr">
        <is>
          <t>Harmony, Tempo, Chord: names and marks, companion view, send_to_session, limits, manager role</t>
        </is>
      </c>
      <c r="E10" s="2" t="inlineStr">
        <is>
          <t>F</t>
        </is>
      </c>
      <c r="F10" s="3" t="inlineStr">
        <is>
          <t>L</t>
        </is>
      </c>
      <c r="G10" s="2">
        <f>IFERROR(INDEX(Scales!$B$3:$B$6,MATCH(F10,Scales!$A$3:$A$6,0)),"")</f>
        <v/>
      </c>
      <c r="H10" s="3" t="inlineStr">
        <is>
          <t>High</t>
        </is>
      </c>
      <c r="I10" s="2">
        <f>IFERROR(INDEX(Scales!$E$3:$E$6,MATCH(H10,Scales!$D$3:$D$6,0)),"")</f>
        <v/>
      </c>
      <c r="J10" s="4">
        <f>IFERROR(ROUND(I10/G10,2),"")</f>
        <v/>
      </c>
      <c r="K10" s="2" t="inlineStr">
        <is>
          <t>Med</t>
        </is>
      </c>
      <c r="L10" s="2" t="inlineStr">
        <is>
          <t>Planned (conflicts settled 2026-09-23)</t>
        </is>
      </c>
      <c r="M10" s="2" t="inlineStr">
        <is>
          <t>M1b + memory PRD conflicts</t>
        </is>
      </c>
      <c r="N10" s="2" t="inlineStr">
        <is>
          <t>just walk "friend" → 1 passed</t>
        </is>
      </c>
      <c r="O10" s="2" t="inlineStr">
        <is>
          <t>Should</t>
        </is>
      </c>
    </row>
    <row r="11">
      <c r="A11" s="5" t="inlineStr">
        <is>
          <t>M3</t>
        </is>
      </c>
      <c r="B11" s="5" t="inlineStr">
        <is>
          <t>Visual language app-wide</t>
        </is>
      </c>
      <c r="C11" s="5" t="inlineStr">
        <is>
          <t>M3</t>
        </is>
      </c>
      <c r="D11" s="5" t="inlineStr">
        <is>
          <t>DESIGN.md amendments, Heroicons sweep, runtime colours, motion picks, tab polish</t>
        </is>
      </c>
      <c r="E11" s="5" t="inlineStr">
        <is>
          <t>U</t>
        </is>
      </c>
      <c r="F11" s="6" t="inlineStr">
        <is>
          <t>L</t>
        </is>
      </c>
      <c r="G11" s="5">
        <f>IFERROR(INDEX(Scales!$B$3:$B$6,MATCH(F11,Scales!$A$3:$A$6,0)),"")</f>
        <v/>
      </c>
      <c r="H11" s="6" t="inlineStr">
        <is>
          <t>High</t>
        </is>
      </c>
      <c r="I11" s="5">
        <f>IFERROR(INDEX(Scales!$E$3:$E$6,MATCH(H11,Scales!$D$3:$D$6,0)),"")</f>
        <v/>
      </c>
      <c r="J11" s="7">
        <f>IFERROR(ROUND(I11/G11,2),"")</f>
        <v/>
      </c>
      <c r="K11" s="5" t="inlineStr">
        <is>
          <t>Low</t>
        </is>
      </c>
      <c r="L11" s="5" t="inlineStr">
        <is>
          <t>Planned at M1b's gate</t>
        </is>
      </c>
      <c r="M11" s="5" t="inlineStr">
        <is>
          <t>M1b</t>
        </is>
      </c>
      <c r="N11" s="5" t="inlineStr">
        <is>
          <t>DESIGN.md checks; theme-tokens.test.ts; window screenshots at 1512</t>
        </is>
      </c>
      <c r="O11" s="5" t="inlineStr">
        <is>
          <t>Should</t>
        </is>
      </c>
    </row>
    <row r="12">
      <c r="A12" s="2" t="inlineStr">
        <is>
          <t>P1</t>
        </is>
      </c>
      <c r="B12" s="2" t="inlineStr">
        <is>
          <t>Melody's cost and concurrency budget</t>
        </is>
      </c>
      <c r="C12" s="2" t="inlineStr">
        <is>
          <t>M1b</t>
        </is>
      </c>
      <c r="D12" s="2" t="inlineStr">
        <is>
          <t>An idle Melody or manager makes no model calls; a combined limit on running managers and workers; seat usage per turn in the ledger</t>
        </is>
      </c>
      <c r="E12" s="2" t="inlineStr">
        <is>
          <t>P</t>
        </is>
      </c>
      <c r="F12" s="3" t="inlineStr">
        <is>
          <t>M</t>
        </is>
      </c>
      <c r="G12" s="2">
        <f>IFERROR(INDEX(Scales!$B$3:$B$6,MATCH(F12,Scales!$A$3:$A$6,0)),"")</f>
        <v/>
      </c>
      <c r="H12" s="3" t="inlineStr">
        <is>
          <t>Med</t>
        </is>
      </c>
      <c r="I12" s="2">
        <f>IFERROR(INDEX(Scales!$E$3:$E$6,MATCH(H12,Scales!$D$3:$D$6,0)),"")</f>
        <v/>
      </c>
      <c r="J12" s="4">
        <f>IFERROR(ROUND(I12/G12,2),"")</f>
        <v/>
      </c>
      <c r="K12" s="2" t="inlineStr">
        <is>
          <t>Low</t>
        </is>
      </c>
      <c r="L12" s="2" t="inlineStr">
        <is>
          <t>Planned at M1a's gate</t>
        </is>
      </c>
      <c r="M12" s="2" t="inlineStr">
        <is>
          <t>M1a</t>
        </is>
      </c>
      <c r="N12" s="2" t="inlineStr">
        <is>
          <t>a test: idle Melody makes 0 model calls over N minutes; the N+1th worker waits</t>
        </is>
      </c>
      <c r="O12" s="2" t="inlineStr">
        <is>
          <t>Should</t>
        </is>
      </c>
    </row>
    <row r="13">
      <c r="A13" s="5" t="inlineStr">
        <is>
          <t>S1</t>
        </is>
      </c>
      <c r="B13" s="5" t="inlineStr">
        <is>
          <t>Diagnosing what Melody starts</t>
        </is>
      </c>
      <c r="C13" s="5" t="inlineStr">
        <is>
          <t>M2</t>
        </is>
      </c>
      <c r="D13" s="5" t="inlineStr">
        <is>
          <t>The chain Melody → manager → worker, and why a session she started failed, in Diagnostics and Telemetry</t>
        </is>
      </c>
      <c r="E13" s="5" t="inlineStr">
        <is>
          <t>S</t>
        </is>
      </c>
      <c r="F13" s="6" t="inlineStr">
        <is>
          <t>M</t>
        </is>
      </c>
      <c r="G13" s="5">
        <f>IFERROR(INDEX(Scales!$B$3:$B$6,MATCH(F13,Scales!$A$3:$A$6,0)),"")</f>
        <v/>
      </c>
      <c r="H13" s="6" t="inlineStr">
        <is>
          <t>Med</t>
        </is>
      </c>
      <c r="I13" s="5">
        <f>IFERROR(INDEX(Scales!$E$3:$E$6,MATCH(H13,Scales!$D$3:$D$6,0)),"")</f>
        <v/>
      </c>
      <c r="J13" s="7">
        <f>IFERROR(ROUND(I13/G13,2),"")</f>
        <v/>
      </c>
      <c r="K13" s="5" t="inlineStr">
        <is>
          <t>Low</t>
        </is>
      </c>
      <c r="L13" s="5" t="inlineStr">
        <is>
          <t>Planned at M1b's gate</t>
        </is>
      </c>
      <c r="M13" s="5" t="inlineStr">
        <is>
          <t>M1b</t>
        </is>
      </c>
      <c r="N13" s="5" t="inlineStr">
        <is>
          <t>a walk: a failed worker's cause shows under its manager in Diagnostics</t>
        </is>
      </c>
      <c r="O13" s="5" t="inlineStr">
        <is>
          <t>Could</t>
        </is>
      </c>
    </row>
    <row r="14">
      <c r="A14" s="2" t="inlineStr">
        <is>
          <t>M4</t>
        </is>
      </c>
      <c r="B14" s="2" t="inlineStr">
        <is>
          <t>First run and Settings</t>
        </is>
      </c>
      <c r="C14" s="2" t="inlineStr">
        <is>
          <t>M4</t>
        </is>
      </c>
      <c r="D14" s="2" t="inlineStr">
        <is>
          <t>Walkthrough, sign-in via a Terminal tab, Settings route, phone tab order</t>
        </is>
      </c>
      <c r="E14" s="2" t="inlineStr">
        <is>
          <t>U, S</t>
        </is>
      </c>
      <c r="F14" s="3" t="inlineStr">
        <is>
          <t>M</t>
        </is>
      </c>
      <c r="G14" s="2">
        <f>IFERROR(INDEX(Scales!$B$3:$B$6,MATCH(F14,Scales!$A$3:$A$6,0)),"")</f>
        <v/>
      </c>
      <c r="H14" s="3" t="inlineStr">
        <is>
          <t>Med</t>
        </is>
      </c>
      <c r="I14" s="2">
        <f>IFERROR(INDEX(Scales!$E$3:$E$6,MATCH(H14,Scales!$D$3:$D$6,0)),"")</f>
        <v/>
      </c>
      <c r="J14" s="4">
        <f>IFERROR(ROUND(I14/G14,2),"")</f>
        <v/>
      </c>
      <c r="K14" s="2" t="inlineStr">
        <is>
          <t>Low</t>
        </is>
      </c>
      <c r="L14" s="2" t="inlineStr">
        <is>
          <t>Planned</t>
        </is>
      </c>
      <c r="M14" s="2" t="inlineStr">
        <is>
          <t>M2, M3</t>
        </is>
      </c>
      <c r="N14" s="2" t="inlineStr">
        <is>
          <t>fresh profile → first run → Melody's first message</t>
        </is>
      </c>
      <c r="O14" s="2" t="inlineStr">
        <is>
          <t>Could</t>
        </is>
      </c>
    </row>
    <row r="15">
      <c r="A15" s="5" t="inlineStr">
        <is>
          <t>A</t>
        </is>
      </c>
      <c r="B15" s="5" t="inlineStr">
        <is>
          <t>Melody v0.9 alpha</t>
        </is>
      </c>
      <c r="C15" s="5" t="inlineStr">
        <is>
          <t>A</t>
        </is>
      </c>
      <c r="D15" s="5" t="inlineStr">
        <is>
          <t>Version line 0.9.0-alpha.1; a published GitHub release (task 195); alpha checklist; updater from alpha.1 to alpha.2 proven</t>
        </is>
      </c>
      <c r="E15" s="5" t="inlineStr">
        <is>
          <t>S, U</t>
        </is>
      </c>
      <c r="F15" s="6" t="inlineStr">
        <is>
          <t>M</t>
        </is>
      </c>
      <c r="G15" s="5">
        <f>IFERROR(INDEX(Scales!$B$3:$B$6,MATCH(F15,Scales!$A$3:$A$6,0)),"")</f>
        <v/>
      </c>
      <c r="H15" s="6" t="inlineStr">
        <is>
          <t>High</t>
        </is>
      </c>
      <c r="I15" s="5">
        <f>IFERROR(INDEX(Scales!$E$3:$E$6,MATCH(H15,Scales!$D$3:$D$6,0)),"")</f>
        <v/>
      </c>
      <c r="J15" s="7">
        <f>IFERROR(ROUND(I15/G15,2),"")</f>
        <v/>
      </c>
      <c r="K15" s="5" t="inlineStr">
        <is>
          <t>Med</t>
        </is>
      </c>
      <c r="L15" s="5" t="inlineStr">
        <is>
          <t>Planned</t>
        </is>
      </c>
      <c r="M15" s="5" t="inlineStr">
        <is>
          <t>all Must/Should/Could</t>
        </is>
      </c>
      <c r="N15" s="5" t="inlineStr">
        <is>
          <t>gh release view v0.9.0-alpha.1; just test-full green; alpha.1 → alpha.2 via the updater</t>
        </is>
      </c>
      <c r="O15" s="5" t="inlineStr">
        <is>
          <t>Must</t>
        </is>
      </c>
    </row>
    <row r="16">
      <c r="A16" s="5" t="inlineStr">
        <is>
          <t>T0</t>
        </is>
      </c>
      <c r="B16" s="5" t="inlineStr">
        <is>
          <t>The notebook, live</t>
        </is>
      </c>
      <c r="C16" s="5" t="inlineStr">
        <is>
          <t>T0</t>
        </is>
      </c>
      <c r="D16" s="5" t="inlineStr">
        <is>
          <t>~/Melody: charter, soul, memory index, journal, memories/ (OKF v0.2); weekly health check; lifecycle rules; PRD v2; week-of-use script</t>
        </is>
      </c>
      <c r="E16" s="5" t="inlineStr">
        <is>
          <t>R, S</t>
        </is>
      </c>
      <c r="F16" s="6" t="inlineStr">
        <is>
          <t>S</t>
        </is>
      </c>
      <c r="G16" s="5">
        <f>IFERROR(INDEX(Scales!$B$3:$B$6,MATCH(F16,Scales!$A$3:$A$6,0)),"")</f>
        <v/>
      </c>
      <c r="H16" s="6" t="inlineStr">
        <is>
          <t>Med</t>
        </is>
      </c>
      <c r="I16" s="5">
        <f>IFERROR(INDEX(Scales!$E$3:$E$6,MATCH(H16,Scales!$D$3:$D$6,0)),"")</f>
        <v/>
      </c>
      <c r="J16" s="7">
        <f>IFERROR(ROUND(I16/G16,2),"")</f>
        <v/>
      </c>
      <c r="K16" s="5" t="inlineStr">
        <is>
          <t>Low</t>
        </is>
      </c>
      <c r="L16" s="5" t="inlineStr">
        <is>
          <t>Done 2026-09-23 (week of use pending)</t>
        </is>
      </c>
      <c r="M16" s="5" t="inlineStr">
        <is>
          <t>—</t>
        </is>
      </c>
      <c r="N16" s="5" t="inlineStr">
        <is>
          <t>claude -p in ~/Melody recalls the five check-in steps; week script fixture 4 · 3 · 1</t>
        </is>
      </c>
      <c r="O16" s="5" t="inlineStr">
        <is>
          <t>Must</t>
        </is>
      </c>
    </row>
    <row r="17">
      <c r="A17" s="5" t="inlineStr">
        <is>
          <t>T1</t>
        </is>
      </c>
      <c r="B17" s="5" t="inlineStr">
        <is>
          <t>Trustworthy job outcomes</t>
        </is>
      </c>
      <c r="C17" s="5" t="inlineStr">
        <is>
          <t>T1</t>
        </is>
      </c>
      <c r="D17" s="5" t="inlineStr">
        <is>
          <t>Job identity, land events, outcome precedence, linked rework, dedup, one-tap verdicts in the work ledger</t>
        </is>
      </c>
      <c r="E17" s="5" t="inlineStr">
        <is>
          <t>R</t>
        </is>
      </c>
      <c r="F17" s="6" t="inlineStr">
        <is>
          <t>M</t>
        </is>
      </c>
      <c r="G17" s="5">
        <f>IFERROR(INDEX(Scales!$B$3:$B$6,MATCH(F17,Scales!$A$3:$A$6,0)),"")</f>
        <v/>
      </c>
      <c r="H17" s="6" t="inlineStr">
        <is>
          <t>High</t>
        </is>
      </c>
      <c r="I17" s="5">
        <f>IFERROR(INDEX(Scales!$E$3:$E$6,MATCH(H17,Scales!$D$3:$D$6,0)),"")</f>
        <v/>
      </c>
      <c r="J17" s="7">
        <f>IFERROR(ROUND(I17/G17,2),"")</f>
        <v/>
      </c>
      <c r="K17" s="5" t="inlineStr">
        <is>
          <t>Med</t>
        </is>
      </c>
      <c r="L17" s="5" t="inlineStr">
        <is>
          <t>Planned at T0's gate</t>
        </is>
      </c>
      <c r="M17" s="5" t="inlineStr">
        <is>
          <t>T0, M1a</t>
        </is>
      </c>
      <c r="N17" s="5" t="inlineStr">
        <is>
          <t>pnpm vitest run ledger-outcome; just walk "job verdict"</t>
        </is>
      </c>
      <c r="O17" s="5" t="inlineStr">
        <is>
          <t>Should</t>
        </is>
      </c>
    </row>
    <row r="18">
      <c r="A18" s="5" t="inlineStr">
        <is>
          <t>T2</t>
        </is>
      </c>
      <c r="B18" s="5" t="inlineStr">
        <is>
          <t>Team health, Usage, Team Context</t>
        </is>
      </c>
      <c r="C18" s="5" t="inlineStr">
        <is>
          <t>T2</t>
        </is>
      </c>
      <c r="D18" s="5" t="inlineStr">
        <is>
          <t>Team health and Usage tabs; then Team Context (rich editor over memories), Reminders, Clean-up, Companions, Routines</t>
        </is>
      </c>
      <c r="E18" s="5" t="inlineStr">
        <is>
          <t>U</t>
        </is>
      </c>
      <c r="F18" s="6" t="inlineStr">
        <is>
          <t>L</t>
        </is>
      </c>
      <c r="G18" s="5">
        <f>IFERROR(INDEX(Scales!$B$3:$B$6,MATCH(F18,Scales!$A$3:$A$6,0)),"")</f>
        <v/>
      </c>
      <c r="H18" s="6" t="inlineStr">
        <is>
          <t>High</t>
        </is>
      </c>
      <c r="I18" s="5">
        <f>IFERROR(INDEX(Scales!$E$3:$E$6,MATCH(H18,Scales!$D$3:$D$6,0)),"")</f>
        <v/>
      </c>
      <c r="J18" s="7">
        <f>IFERROR(ROUND(I18/G18,2),"")</f>
        <v/>
      </c>
      <c r="K18" s="5" t="inlineStr">
        <is>
          <t>Med</t>
        </is>
      </c>
      <c r="L18" s="5" t="inlineStr">
        <is>
          <t>Planned</t>
        </is>
      </c>
      <c r="M18" s="5" t="inlineStr">
        <is>
          <t>M1b, M3</t>
        </is>
      </c>
      <c r="N18" s="5" t="inlineStr">
        <is>
          <t>just walk "team health"</t>
        </is>
      </c>
      <c r="O18" s="5" t="inlineStr">
        <is>
          <t>Could</t>
        </is>
      </c>
    </row>
    <row r="19">
      <c r="A19" s="5" t="inlineStr">
        <is>
          <t>T3</t>
        </is>
      </c>
      <c r="B19" s="5" t="inlineStr">
        <is>
          <t>Lifecycle routines</t>
        </is>
      </c>
      <c r="C19" s="5" t="inlineStr">
        <is>
          <t>T3</t>
        </is>
      </c>
      <c r="D19" s="5" t="inlineStr">
        <is>
          <t>Weekly check-in, budgeted nightly tidy-up (DREAMS.md), cap check, journal archive, worktree sweep, backup, reminders</t>
        </is>
      </c>
      <c r="E19" s="5" t="inlineStr">
        <is>
          <t>R, P</t>
        </is>
      </c>
      <c r="F19" s="6" t="inlineStr">
        <is>
          <t>M</t>
        </is>
      </c>
      <c r="G19" s="5">
        <f>IFERROR(INDEX(Scales!$B$3:$B$6,MATCH(F19,Scales!$A$3:$A$6,0)),"")</f>
        <v/>
      </c>
      <c r="H19" s="6" t="inlineStr">
        <is>
          <t>Med</t>
        </is>
      </c>
      <c r="I19" s="5">
        <f>IFERROR(INDEX(Scales!$E$3:$E$6,MATCH(H19,Scales!$D$3:$D$6,0)),"")</f>
        <v/>
      </c>
      <c r="J19" s="7">
        <f>IFERROR(ROUND(I19/G19,2),"")</f>
        <v/>
      </c>
      <c r="K19" s="5" t="inlineStr">
        <is>
          <t>Low</t>
        </is>
      </c>
      <c r="L19" s="5" t="inlineStr">
        <is>
          <t>Planned</t>
        </is>
      </c>
      <c r="M19" s="5" t="inlineStr">
        <is>
          <t>M1b, T0</t>
        </is>
      </c>
      <c r="N19" s="5" t="inlineStr">
        <is>
          <t>fixture: journal byte-identical, ≤25% dropped, stops at budget, idle hour makes no call</t>
        </is>
      </c>
      <c r="O19" s="5" t="inlineStr">
        <is>
          <t>Could</t>
        </is>
      </c>
    </row>
    <row r="20">
      <c r="A20" s="5" t="inlineStr">
        <is>
          <t>T4</t>
        </is>
      </c>
      <c r="B20" s="5" t="inlineStr">
        <is>
          <t>Companion growth</t>
        </is>
      </c>
      <c r="C20" s="5" t="inlineStr">
        <is>
          <t>T4</t>
        </is>
      </c>
      <c r="D20" s="5" t="inlineStr">
        <is>
          <t>Test sets from judged jobs, pass^3 charter gate, DORA-style scorecard, time horizon, autonomy ladder</t>
        </is>
      </c>
      <c r="E20" s="5" t="inlineStr">
        <is>
          <t>F, R</t>
        </is>
      </c>
      <c r="F20" s="6" t="inlineStr">
        <is>
          <t>L</t>
        </is>
      </c>
      <c r="G20" s="5">
        <f>IFERROR(INDEX(Scales!$B$3:$B$6,MATCH(F20,Scales!$A$3:$A$6,0)),"")</f>
        <v/>
      </c>
      <c r="H20" s="6" t="inlineStr">
        <is>
          <t>High</t>
        </is>
      </c>
      <c r="I20" s="5">
        <f>IFERROR(INDEX(Scales!$E$3:$E$6,MATCH(H20,Scales!$D$3:$D$6,0)),"")</f>
        <v/>
      </c>
      <c r="J20" s="7">
        <f>IFERROR(ROUND(I20/G20,2),"")</f>
        <v/>
      </c>
      <c r="K20" s="5" t="inlineStr">
        <is>
          <t>Med</t>
        </is>
      </c>
      <c r="L20" s="5" t="inlineStr">
        <is>
          <t>Planned</t>
        </is>
      </c>
      <c r="M20" s="5" t="inlineStr">
        <is>
          <t>M2, T1</t>
        </is>
      </c>
      <c r="N20" s="5" t="inlineStr">
        <is>
          <t>a regressing fixture proposal shows "scores lower on &lt;task&gt;"; &lt;3 judged jobs → not enough history</t>
        </is>
      </c>
      <c r="O20" s="5" t="inlineStr">
        <is>
          <t>Could</t>
        </is>
      </c>
    </row>
    <row r="22">
      <c r="A22" s="8" t="inlineStr">
        <is>
          <t>Blue cells (Size, Impact) are Claude's estimates, 2026-09-23, from the program plan v2 and task 181's plan; change them from the dropdowns and the points recalculate. Updated 2026-09-23: 0.9 is the one target; team memory T0–T4 joined (docs/2026-09-23-team-memory-program-plan-v2.md); friends are now companions.</t>
        </is>
      </c>
    </row>
  </sheetData>
  <autoFilter ref="A1:O15"/>
  <dataValidations count="2">
    <dataValidation sqref="F2:F20" showDropDown="0" showInputMessage="0" showErrorMessage="0" allowBlank="1" type="list">
      <formula1>"S,M,L,XL"</formula1>
    </dataValidation>
    <dataValidation sqref="H2:H20" showDropDown="0" showInputMessage="0" showErrorMessage="0" allowBlank="1" type="list">
      <formula1>"Low,Med,High,Very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12" customWidth="1" min="4" max="4"/>
    <col width="10" customWidth="1" min="5" max="5"/>
  </cols>
  <sheetData>
    <row r="1">
      <c r="A1" s="9" t="inlineStr">
        <is>
          <t>Scales (edit the blue points to re-weight)</t>
        </is>
      </c>
    </row>
    <row r="2">
      <c r="A2" s="10" t="inlineStr">
        <is>
          <t>Size</t>
        </is>
      </c>
      <c r="B2" s="10" t="inlineStr">
        <is>
          <t>Points</t>
        </is>
      </c>
      <c r="C2" s="10" t="inlineStr">
        <is>
          <t>Meaning</t>
        </is>
      </c>
      <c r="D2" s="10" t="inlineStr">
        <is>
          <t>Impact</t>
        </is>
      </c>
      <c r="E2" s="10" t="inlineStr">
        <is>
          <t>Points</t>
        </is>
      </c>
    </row>
    <row r="3">
      <c r="A3" s="11" t="inlineStr">
        <is>
          <t>S</t>
        </is>
      </c>
      <c r="B3" s="12" t="n">
        <v>1</v>
      </c>
      <c r="C3" s="11" t="inlineStr">
        <is>
          <t>under a day; one file or a check</t>
        </is>
      </c>
      <c r="D3" s="11" t="inlineStr">
        <is>
          <t>Low</t>
        </is>
      </c>
      <c r="E3" s="12" t="n">
        <v>1</v>
      </c>
    </row>
    <row r="4">
      <c r="A4" s="11" t="inlineStr">
        <is>
          <t>M</t>
        </is>
      </c>
      <c r="B4" s="12" t="n">
        <v>2</v>
      </c>
      <c r="C4" s="11" t="inlineStr">
        <is>
          <t>a few files, one area</t>
        </is>
      </c>
      <c r="D4" s="11" t="inlineStr">
        <is>
          <t>Med</t>
        </is>
      </c>
      <c r="E4" s="12" t="n">
        <v>2</v>
      </c>
    </row>
    <row r="5">
      <c r="A5" s="11" t="inlineStr">
        <is>
          <t>L</t>
        </is>
      </c>
      <c r="B5" s="12" t="n">
        <v>3</v>
      </c>
      <c r="C5" s="11" t="inlineStr">
        <is>
          <t>several files, or a broad sweep</t>
        </is>
      </c>
      <c r="D5" s="11" t="inlineStr">
        <is>
          <t>High</t>
        </is>
      </c>
      <c r="E5" s="12" t="n">
        <v>3</v>
      </c>
    </row>
    <row r="6">
      <c r="A6" s="11" t="inlineStr">
        <is>
          <t>XL</t>
        </is>
      </c>
      <c r="B6" s="12" t="n">
        <v>5</v>
      </c>
      <c r="C6" s="11" t="inlineStr">
        <is>
          <t>core refactor or new subsystem; highest risk</t>
        </is>
      </c>
      <c r="D6" s="11" t="inlineStr">
        <is>
          <t>Very high</t>
        </is>
      </c>
      <c r="E6" s="12" t="n">
        <v>5</v>
      </c>
    </row>
    <row r="8">
      <c r="A8" s="8" t="inlineStr">
        <is>
          <t>FURPS: F Functionality (incl. security) · U Usability · R Reliability · P Performance · S Supportability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36" customWidth="1" min="5" max="5"/>
  </cols>
  <sheetData>
    <row r="1">
      <c r="A1" s="10" t="inlineStr">
        <is>
          <t>Tranche</t>
        </is>
      </c>
      <c r="B1" s="10" t="inlineStr">
        <is>
          <t>Items</t>
        </is>
      </c>
      <c r="C1" s="10" t="inlineStr">
        <is>
          <t>Size pts</t>
        </is>
      </c>
      <c r="D1" s="10" t="inlineStr">
        <is>
          <t>Impact pts</t>
        </is>
      </c>
      <c r="E1" s="10" t="inlineStr">
        <is>
          <t>Note</t>
        </is>
      </c>
    </row>
    <row r="2">
      <c r="A2" s="11" t="inlineStr">
        <is>
          <t>M0</t>
        </is>
      </c>
      <c r="B2" s="11">
        <f>COUNTIFS(Roadmap!$C$2:$C$20,A2,Roadmap!$A$2:$A$20,"&lt;&gt;181",Roadmap!$A$2:$A$20,"&lt;&gt;196")</f>
        <v/>
      </c>
      <c r="C2" s="11">
        <f>SUMIFS(Roadmap!$G$2:$G$20,Roadmap!$C$2:$C$20,A2,Roadmap!$A$2:$A$20,"&lt;&gt;181",Roadmap!$A$2:$A$20,"&lt;&gt;196")</f>
        <v/>
      </c>
      <c r="D2" s="11">
        <f>SUMIFS(Roadmap!$I$2:$I$20,Roadmap!$C$2:$C$20,A2,Roadmap!$A$2:$A$20,"&lt;&gt;181",Roadmap!$A$2:$A$20,"&lt;&gt;196")</f>
        <v/>
      </c>
      <c r="E2" s="11" t="inlineStr">
        <is>
          <t>tasks 197, 198, 200 (excludes umbrella 181 and done 196)</t>
        </is>
      </c>
    </row>
    <row r="3">
      <c r="A3" s="11" t="inlineStr">
        <is>
          <t>M1a</t>
        </is>
      </c>
      <c r="B3" s="11">
        <f>COUNTIFS(Roadmap!$C$2:$C$20,A3,Roadmap!$A$2:$A$20,"&lt;&gt;181",Roadmap!$A$2:$A$20,"&lt;&gt;196")</f>
        <v/>
      </c>
      <c r="C3" s="11">
        <f>SUMIFS(Roadmap!$G$2:$G$20,Roadmap!$C$2:$C$20,A3,Roadmap!$A$2:$A$20,"&lt;&gt;181",Roadmap!$A$2:$A$20,"&lt;&gt;196")</f>
        <v/>
      </c>
      <c r="D3" s="11">
        <f>SUMIFS(Roadmap!$I$2:$I$20,Roadmap!$C$2:$C$20,A3,Roadmap!$A$2:$A$20,"&lt;&gt;181",Roadmap!$A$2:$A$20,"&lt;&gt;196")</f>
        <v/>
      </c>
      <c r="E3" s="11" t="inlineStr"/>
    </row>
    <row r="4">
      <c r="A4" s="11" t="inlineStr">
        <is>
          <t>M1b</t>
        </is>
      </c>
      <c r="B4" s="11">
        <f>COUNTIFS(Roadmap!$C$2:$C$20,A4,Roadmap!$A$2:$A$20,"&lt;&gt;181",Roadmap!$A$2:$A$20,"&lt;&gt;196")</f>
        <v/>
      </c>
      <c r="C4" s="11">
        <f>SUMIFS(Roadmap!$G$2:$G$20,Roadmap!$C$2:$C$20,A4,Roadmap!$A$2:$A$20,"&lt;&gt;181",Roadmap!$A$2:$A$20,"&lt;&gt;196")</f>
        <v/>
      </c>
      <c r="D4" s="11">
        <f>SUMIFS(Roadmap!$I$2:$I$20,Roadmap!$C$2:$C$20,A4,Roadmap!$A$2:$A$20,"&lt;&gt;181",Roadmap!$A$2:$A$20,"&lt;&gt;196")</f>
        <v/>
      </c>
      <c r="E4" s="11" t="inlineStr"/>
    </row>
    <row r="5">
      <c r="A5" s="11" t="inlineStr">
        <is>
          <t>M2</t>
        </is>
      </c>
      <c r="B5" s="11">
        <f>COUNTIFS(Roadmap!$C$2:$C$20,A5,Roadmap!$A$2:$A$20,"&lt;&gt;181",Roadmap!$A$2:$A$20,"&lt;&gt;196")</f>
        <v/>
      </c>
      <c r="C5" s="11">
        <f>SUMIFS(Roadmap!$G$2:$G$20,Roadmap!$C$2:$C$20,A5,Roadmap!$A$2:$A$20,"&lt;&gt;181",Roadmap!$A$2:$A$20,"&lt;&gt;196")</f>
        <v/>
      </c>
      <c r="D5" s="11">
        <f>SUMIFS(Roadmap!$I$2:$I$20,Roadmap!$C$2:$C$20,A5,Roadmap!$A$2:$A$20,"&lt;&gt;181",Roadmap!$A$2:$A$20,"&lt;&gt;196")</f>
        <v/>
      </c>
      <c r="E5" s="11" t="inlineStr">
        <is>
          <t>companions; conflicts settled 2026-09-23</t>
        </is>
      </c>
    </row>
    <row r="6">
      <c r="A6" s="11" t="inlineStr">
        <is>
          <t>M3</t>
        </is>
      </c>
      <c r="B6" s="11">
        <f>COUNTIFS(Roadmap!$C$2:$C$20,A6,Roadmap!$A$2:$A$20,"&lt;&gt;181",Roadmap!$A$2:$A$20,"&lt;&gt;196")</f>
        <v/>
      </c>
      <c r="C6" s="11">
        <f>SUMIFS(Roadmap!$G$2:$G$20,Roadmap!$C$2:$C$20,A6,Roadmap!$A$2:$A$20,"&lt;&gt;181",Roadmap!$A$2:$A$20,"&lt;&gt;196")</f>
        <v/>
      </c>
      <c r="D6" s="11">
        <f>SUMIFS(Roadmap!$I$2:$I$20,Roadmap!$C$2:$C$20,A6,Roadmap!$A$2:$A$20,"&lt;&gt;181",Roadmap!$A$2:$A$20,"&lt;&gt;196")</f>
        <v/>
      </c>
      <c r="E6" s="11" t="inlineStr"/>
    </row>
    <row r="7">
      <c r="A7" s="11" t="inlineStr">
        <is>
          <t>M4</t>
        </is>
      </c>
      <c r="B7" s="11">
        <f>COUNTIFS(Roadmap!$C$2:$C$20,A7,Roadmap!$A$2:$A$20,"&lt;&gt;181",Roadmap!$A$2:$A$20,"&lt;&gt;196")</f>
        <v/>
      </c>
      <c r="C7" s="11">
        <f>SUMIFS(Roadmap!$G$2:$G$20,Roadmap!$C$2:$C$20,A7,Roadmap!$A$2:$A$20,"&lt;&gt;181",Roadmap!$A$2:$A$20,"&lt;&gt;196")</f>
        <v/>
      </c>
      <c r="D7" s="11">
        <f>SUMIFS(Roadmap!$I$2:$I$20,Roadmap!$C$2:$C$20,A7,Roadmap!$A$2:$A$20,"&lt;&gt;181",Roadmap!$A$2:$A$20,"&lt;&gt;196")</f>
        <v/>
      </c>
      <c r="E7" s="11" t="inlineStr"/>
    </row>
    <row r="8">
      <c r="A8" s="11" t="inlineStr">
        <is>
          <t>A</t>
        </is>
      </c>
      <c r="B8" s="11">
        <f>COUNTIFS(Roadmap!$C$2:$C$20,A8,Roadmap!$A$2:$A$20,"&lt;&gt;181",Roadmap!$A$2:$A$20,"&lt;&gt;196")</f>
        <v/>
      </c>
      <c r="C8" s="11">
        <f>SUMIFS(Roadmap!$G$2:$G$20,Roadmap!$C$2:$C$20,A8,Roadmap!$A$2:$A$20,"&lt;&gt;181",Roadmap!$A$2:$A$20,"&lt;&gt;196")</f>
        <v/>
      </c>
      <c r="D8" s="11">
        <f>SUMIFS(Roadmap!$I$2:$I$20,Roadmap!$C$2:$C$20,A8,Roadmap!$A$2:$A$20,"&lt;&gt;181",Roadmap!$A$2:$A$20,"&lt;&gt;196")</f>
        <v/>
      </c>
      <c r="E8" s="11" t="inlineStr">
        <is>
          <t>v0.9 alpha</t>
        </is>
      </c>
    </row>
    <row r="9">
      <c r="A9" s="11" t="inlineStr">
        <is>
          <t>T0</t>
        </is>
      </c>
      <c r="B9" s="11">
        <f>COUNTIFS(Roadmap!$C$2:$C$20,A9,Roadmap!$A$2:$A$20,"&lt;&gt;181",Roadmap!$A$2:$A$20,"&lt;&gt;196")</f>
        <v/>
      </c>
      <c r="C9" s="11">
        <f>SUMIFS(Roadmap!$G$2:$G$20,Roadmap!$C$2:$C$20,A9,Roadmap!$A$2:$A$20,"&lt;&gt;181",Roadmap!$A$2:$A$20,"&lt;&gt;196")</f>
        <v/>
      </c>
      <c r="D9" s="11">
        <f>SUMIFS(Roadmap!$I$2:$I$20,Roadmap!$C$2:$C$20,A9,Roadmap!$A$2:$A$20,"&lt;&gt;181",Roadmap!$A$2:$A$20,"&lt;&gt;196")</f>
        <v/>
      </c>
      <c r="E9" s="11" t="inlineStr">
        <is>
          <t>team memory — in 0.9 since 2026-09-23</t>
        </is>
      </c>
    </row>
    <row r="10">
      <c r="A10" s="11" t="inlineStr">
        <is>
          <t>T1</t>
        </is>
      </c>
      <c r="B10" s="11">
        <f>COUNTIFS(Roadmap!$C$2:$C$20,A10,Roadmap!$A$2:$A$20,"&lt;&gt;181",Roadmap!$A$2:$A$20,"&lt;&gt;196")</f>
        <v/>
      </c>
      <c r="C10" s="11">
        <f>SUMIFS(Roadmap!$G$2:$G$20,Roadmap!$C$2:$C$20,A10,Roadmap!$A$2:$A$20,"&lt;&gt;181",Roadmap!$A$2:$A$20,"&lt;&gt;196")</f>
        <v/>
      </c>
      <c r="D10" s="11">
        <f>SUMIFS(Roadmap!$I$2:$I$20,Roadmap!$C$2:$C$20,A10,Roadmap!$A$2:$A$20,"&lt;&gt;181",Roadmap!$A$2:$A$20,"&lt;&gt;196")</f>
        <v/>
      </c>
      <c r="E10" s="11" t="n"/>
    </row>
    <row r="11">
      <c r="A11" s="11" t="inlineStr">
        <is>
          <t>T2</t>
        </is>
      </c>
      <c r="B11" s="11">
        <f>COUNTIFS(Roadmap!$C$2:$C$20,A11,Roadmap!$A$2:$A$20,"&lt;&gt;181",Roadmap!$A$2:$A$20,"&lt;&gt;196")</f>
        <v/>
      </c>
      <c r="C11" s="11">
        <f>SUMIFS(Roadmap!$G$2:$G$20,Roadmap!$C$2:$C$20,A11,Roadmap!$A$2:$A$20,"&lt;&gt;181",Roadmap!$A$2:$A$20,"&lt;&gt;196")</f>
        <v/>
      </c>
      <c r="D11" s="11">
        <f>SUMIFS(Roadmap!$I$2:$I$20,Roadmap!$C$2:$C$20,A11,Roadmap!$A$2:$A$20,"&lt;&gt;181",Roadmap!$A$2:$A$20,"&lt;&gt;196")</f>
        <v/>
      </c>
      <c r="E11" s="11" t="n"/>
    </row>
    <row r="12">
      <c r="A12" s="11" t="inlineStr">
        <is>
          <t>T3</t>
        </is>
      </c>
      <c r="B12" s="11">
        <f>COUNTIFS(Roadmap!$C$2:$C$20,A12,Roadmap!$A$2:$A$20,"&lt;&gt;181",Roadmap!$A$2:$A$20,"&lt;&gt;196")</f>
        <v/>
      </c>
      <c r="C12" s="11">
        <f>SUMIFS(Roadmap!$G$2:$G$20,Roadmap!$C$2:$C$20,A12,Roadmap!$A$2:$A$20,"&lt;&gt;181",Roadmap!$A$2:$A$20,"&lt;&gt;196")</f>
        <v/>
      </c>
      <c r="D12" s="11">
        <f>SUMIFS(Roadmap!$I$2:$I$20,Roadmap!$C$2:$C$20,A12,Roadmap!$A$2:$A$20,"&lt;&gt;181",Roadmap!$A$2:$A$20,"&lt;&gt;196")</f>
        <v/>
      </c>
      <c r="E12" s="11" t="n"/>
    </row>
    <row r="13">
      <c r="A13" s="11" t="inlineStr">
        <is>
          <t>T4</t>
        </is>
      </c>
      <c r="B13" s="11">
        <f>COUNTIFS(Roadmap!$C$2:$C$20,A13,Roadmap!$A$2:$A$20,"&lt;&gt;181",Roadmap!$A$2:$A$20,"&lt;&gt;196")</f>
        <v/>
      </c>
      <c r="C13" s="11">
        <f>SUMIFS(Roadmap!$G$2:$G$20,Roadmap!$C$2:$C$20,A13,Roadmap!$A$2:$A$20,"&lt;&gt;181",Roadmap!$A$2:$A$20,"&lt;&gt;196")</f>
        <v/>
      </c>
      <c r="D13" s="11">
        <f>SUMIFS(Roadmap!$I$2:$I$20,Roadmap!$C$2:$C$20,A13,Roadmap!$A$2:$A$20,"&lt;&gt;181",Roadmap!$A$2:$A$20,"&lt;&gt;196")</f>
        <v/>
      </c>
      <c r="E13" s="11" t="n"/>
    </row>
    <row r="14">
      <c r="A14" s="13" t="inlineStr">
        <is>
          <t>Total</t>
        </is>
      </c>
      <c r="B14" s="13">
        <f>SUM(B2:B13)</f>
        <v/>
      </c>
      <c r="C14" s="13">
        <f>SUM(C2:C13)</f>
        <v/>
      </c>
      <c r="D14" s="13">
        <f>SUM(D2:D13)</f>
        <v/>
      </c>
      <c r="E14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34" customWidth="1" min="9" max="9"/>
  </cols>
  <sheetData>
    <row r="1">
      <c r="A1" s="10" t="inlineStr">
        <is>
          <t>MoSCoW</t>
        </is>
      </c>
      <c r="B1" s="10" t="inlineStr">
        <is>
          <t>F</t>
        </is>
      </c>
      <c r="C1" s="10" t="inlineStr">
        <is>
          <t>U</t>
        </is>
      </c>
      <c r="D1" s="10" t="inlineStr">
        <is>
          <t>R</t>
        </is>
      </c>
      <c r="E1" s="10" t="inlineStr">
        <is>
          <t>P</t>
        </is>
      </c>
      <c r="F1" s="10" t="inlineStr">
        <is>
          <t>S</t>
        </is>
      </c>
      <c r="G1" s="10" t="inlineStr">
        <is>
          <t>Items</t>
        </is>
      </c>
      <c r="H1" s="10" t="inlineStr">
        <is>
          <t>Size pts</t>
        </is>
      </c>
      <c r="I1" s="10" t="inlineStr">
        <is>
          <t>Note</t>
        </is>
      </c>
    </row>
    <row r="2">
      <c r="A2" s="11" t="inlineStr">
        <is>
          <t>Must</t>
        </is>
      </c>
      <c r="B2" s="11">
        <f>COUNTIFS(Roadmap!$O$2:$O$20,$A2,Roadmap!$E$2:$E$20,"*F*",Roadmap!$A$2:$A$20,"&lt;&gt;181",Roadmap!$A$2:$A$20,"&lt;&gt;196")</f>
        <v/>
      </c>
      <c r="C2" s="11">
        <f>COUNTIFS(Roadmap!$O$2:$O$20,$A2,Roadmap!$E$2:$E$20,"*U*",Roadmap!$A$2:$A$20,"&lt;&gt;181",Roadmap!$A$2:$A$20,"&lt;&gt;196")</f>
        <v/>
      </c>
      <c r="D2" s="11">
        <f>COUNTIFS(Roadmap!$O$2:$O$20,$A2,Roadmap!$E$2:$E$20,"*R*",Roadmap!$A$2:$A$20,"&lt;&gt;181",Roadmap!$A$2:$A$20,"&lt;&gt;196")</f>
        <v/>
      </c>
      <c r="E2" s="11">
        <f>COUNTIFS(Roadmap!$O$2:$O$20,$A2,Roadmap!$E$2:$E$20,"*P*",Roadmap!$A$2:$A$20,"&lt;&gt;181",Roadmap!$A$2:$A$20,"&lt;&gt;196")</f>
        <v/>
      </c>
      <c r="F2" s="11">
        <f>COUNTIFS(Roadmap!$O$2:$O$20,$A2,Roadmap!$E$2:$E$20,"*S*",Roadmap!$A$2:$A$20,"&lt;&gt;181",Roadmap!$A$2:$A$20,"&lt;&gt;196")</f>
        <v/>
      </c>
      <c r="G2" s="11">
        <f>COUNTIFS(Roadmap!$O$2:$O$20,$A2,Roadmap!$A$2:$A$20,"&lt;&gt;181",Roadmap!$A$2:$A$20,"&lt;&gt;196")</f>
        <v/>
      </c>
      <c r="H2" s="11">
        <f>SUMIFS(Roadmap!$G$2:$G$20,Roadmap!$O$2:$O$20,$A2,Roadmap!$A$2:$A$20,"&lt;&gt;181",Roadmap!$A$2:$A$20,"&lt;&gt;196")</f>
        <v/>
      </c>
      <c r="I2" s="11" t="inlineStr">
        <is>
          <t>181's umbrella and done 196 excluded</t>
        </is>
      </c>
    </row>
    <row r="3">
      <c r="A3" s="11" t="inlineStr">
        <is>
          <t>Should</t>
        </is>
      </c>
      <c r="B3" s="11">
        <f>COUNTIFS(Roadmap!$O$2:$O$20,$A3,Roadmap!$E$2:$E$20,"*F*",Roadmap!$A$2:$A$20,"&lt;&gt;181",Roadmap!$A$2:$A$20,"&lt;&gt;196")</f>
        <v/>
      </c>
      <c r="C3" s="11">
        <f>COUNTIFS(Roadmap!$O$2:$O$20,$A3,Roadmap!$E$2:$E$20,"*U*",Roadmap!$A$2:$A$20,"&lt;&gt;181",Roadmap!$A$2:$A$20,"&lt;&gt;196")</f>
        <v/>
      </c>
      <c r="D3" s="11">
        <f>COUNTIFS(Roadmap!$O$2:$O$20,$A3,Roadmap!$E$2:$E$20,"*R*",Roadmap!$A$2:$A$20,"&lt;&gt;181",Roadmap!$A$2:$A$20,"&lt;&gt;196")</f>
        <v/>
      </c>
      <c r="E3" s="11">
        <f>COUNTIFS(Roadmap!$O$2:$O$20,$A3,Roadmap!$E$2:$E$20,"*P*",Roadmap!$A$2:$A$20,"&lt;&gt;181",Roadmap!$A$2:$A$20,"&lt;&gt;196")</f>
        <v/>
      </c>
      <c r="F3" s="11">
        <f>COUNTIFS(Roadmap!$O$2:$O$20,$A3,Roadmap!$E$2:$E$20,"*S*",Roadmap!$A$2:$A$20,"&lt;&gt;181",Roadmap!$A$2:$A$20,"&lt;&gt;196")</f>
        <v/>
      </c>
      <c r="G3" s="11">
        <f>COUNTIFS(Roadmap!$O$2:$O$20,$A3,Roadmap!$A$2:$A$20,"&lt;&gt;181",Roadmap!$A$2:$A$20,"&lt;&gt;196")</f>
        <v/>
      </c>
      <c r="H3" s="11">
        <f>SUMIFS(Roadmap!$G$2:$G$20,Roadmap!$O$2:$O$20,$A3,Roadmap!$A$2:$A$20,"&lt;&gt;181",Roadmap!$A$2:$A$20,"&lt;&gt;196")</f>
        <v/>
      </c>
      <c r="I3" s="11" t="inlineStr"/>
    </row>
    <row r="4">
      <c r="A4" s="11" t="inlineStr">
        <is>
          <t>Could</t>
        </is>
      </c>
      <c r="B4" s="11">
        <f>COUNTIFS(Roadmap!$O$2:$O$20,$A4,Roadmap!$E$2:$E$20,"*F*",Roadmap!$A$2:$A$20,"&lt;&gt;181",Roadmap!$A$2:$A$20,"&lt;&gt;196")</f>
        <v/>
      </c>
      <c r="C4" s="11">
        <f>COUNTIFS(Roadmap!$O$2:$O$20,$A4,Roadmap!$E$2:$E$20,"*U*",Roadmap!$A$2:$A$20,"&lt;&gt;181",Roadmap!$A$2:$A$20,"&lt;&gt;196")</f>
        <v/>
      </c>
      <c r="D4" s="11">
        <f>COUNTIFS(Roadmap!$O$2:$O$20,$A4,Roadmap!$E$2:$E$20,"*R*",Roadmap!$A$2:$A$20,"&lt;&gt;181",Roadmap!$A$2:$A$20,"&lt;&gt;196")</f>
        <v/>
      </c>
      <c r="E4" s="11">
        <f>COUNTIFS(Roadmap!$O$2:$O$20,$A4,Roadmap!$E$2:$E$20,"*P*",Roadmap!$A$2:$A$20,"&lt;&gt;181",Roadmap!$A$2:$A$20,"&lt;&gt;196")</f>
        <v/>
      </c>
      <c r="F4" s="11">
        <f>COUNTIFS(Roadmap!$O$2:$O$20,$A4,Roadmap!$E$2:$E$20,"*S*",Roadmap!$A$2:$A$20,"&lt;&gt;181",Roadmap!$A$2:$A$20,"&lt;&gt;196")</f>
        <v/>
      </c>
      <c r="G4" s="11">
        <f>COUNTIFS(Roadmap!$O$2:$O$20,$A4,Roadmap!$A$2:$A$20,"&lt;&gt;181",Roadmap!$A$2:$A$20,"&lt;&gt;196")</f>
        <v/>
      </c>
      <c r="H4" s="11">
        <f>SUMIFS(Roadmap!$G$2:$G$20,Roadmap!$O$2:$O$20,$A4,Roadmap!$A$2:$A$20,"&lt;&gt;181",Roadmap!$A$2:$A$20,"&lt;&gt;196")</f>
        <v/>
      </c>
      <c r="I4" s="11" t="inlineStr"/>
    </row>
    <row r="5">
      <c r="A5" s="13" t="inlineStr">
        <is>
          <t>Total</t>
        </is>
      </c>
      <c r="B5" s="13">
        <f>SUM(B2:B4)</f>
        <v/>
      </c>
      <c r="C5" s="13">
        <f>SUM(C2:C4)</f>
        <v/>
      </c>
      <c r="D5" s="13">
        <f>SUM(D2:D4)</f>
        <v/>
      </c>
      <c r="E5" s="13">
        <f>SUM(E2:E4)</f>
        <v/>
      </c>
      <c r="F5" s="13">
        <f>SUM(F2:F4)</f>
        <v/>
      </c>
      <c r="G5" s="13">
        <f>SUM(G2:G4)</f>
        <v/>
      </c>
      <c r="H5" s="13">
        <f>SUM(H2:H4)</f>
        <v/>
      </c>
      <c r="I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2026-09-23T20:30:03Z</dcterms:created>
  <dcterms:modified xsi:type="dcterms:W3CDTF">2026-09-24T02:04:44Z</dcterms:modified>
</cp:coreProperties>
</file>